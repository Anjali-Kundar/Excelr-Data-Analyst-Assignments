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EPA\OneDrive\Desktop\"/>
    </mc:Choice>
  </mc:AlternateContent>
  <xr:revisionPtr revIDLastSave="0" documentId="13_ncr:1_{57695CE1-677C-4E84-8BAA-0E88AC99EC2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1" r:id="rId1"/>
    <sheet name="Macro" sheetId="6" r:id="rId2"/>
    <sheet name="2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6" l="1"/>
  <c r="J9" i="6"/>
  <c r="K9" i="6"/>
  <c r="H10" i="6"/>
  <c r="J10" i="6"/>
  <c r="K10" i="6" s="1"/>
  <c r="H11" i="6"/>
  <c r="J11" i="6"/>
  <c r="K11" i="6" s="1"/>
  <c r="H12" i="6"/>
  <c r="J12" i="6"/>
  <c r="K12" i="6"/>
  <c r="H13" i="6"/>
  <c r="J13" i="6"/>
  <c r="K13" i="6" s="1"/>
  <c r="H14" i="6"/>
  <c r="J14" i="6"/>
  <c r="K14" i="6" s="1"/>
  <c r="H15" i="6"/>
  <c r="J15" i="6"/>
  <c r="K15" i="6" s="1"/>
  <c r="H16" i="6"/>
  <c r="J16" i="6"/>
  <c r="K16" i="6"/>
  <c r="H17" i="6"/>
  <c r="K17" i="6" s="1"/>
  <c r="J17" i="6"/>
  <c r="H18" i="6"/>
  <c r="J18" i="6"/>
  <c r="K18" i="6" s="1"/>
  <c r="H19" i="6"/>
  <c r="J19" i="6"/>
  <c r="K19" i="6" s="1"/>
  <c r="H20" i="6"/>
  <c r="J20" i="6"/>
  <c r="K20" i="6"/>
  <c r="H21" i="6"/>
  <c r="J21" i="6"/>
  <c r="K21" i="6" s="1"/>
  <c r="H22" i="6"/>
  <c r="K22" i="6" s="1"/>
  <c r="J22" i="6"/>
  <c r="H23" i="6"/>
  <c r="J23" i="6"/>
  <c r="K23" i="6" s="1"/>
  <c r="H24" i="6"/>
  <c r="J24" i="6"/>
  <c r="K24" i="6"/>
  <c r="H25" i="6"/>
  <c r="J25" i="6"/>
  <c r="K25" i="6" s="1"/>
  <c r="H26" i="6"/>
  <c r="K26" i="6" s="1"/>
  <c r="J26" i="6"/>
  <c r="H27" i="6"/>
  <c r="J27" i="6"/>
  <c r="K27" i="6" s="1"/>
  <c r="H28" i="6"/>
  <c r="J28" i="6"/>
  <c r="K28" i="6"/>
  <c r="H29" i="6"/>
  <c r="J29" i="6"/>
  <c r="K29" i="6" s="1"/>
  <c r="H30" i="6"/>
  <c r="K30" i="6" s="1"/>
  <c r="J30" i="6"/>
  <c r="H31" i="6"/>
  <c r="J31" i="6"/>
  <c r="K31" i="6" s="1"/>
  <c r="H32" i="6"/>
  <c r="J32" i="6"/>
  <c r="K32" i="6"/>
  <c r="H33" i="6"/>
  <c r="J33" i="6"/>
  <c r="K33" i="6" s="1"/>
  <c r="H34" i="6"/>
  <c r="K34" i="6" s="1"/>
  <c r="J34" i="6"/>
  <c r="H35" i="6"/>
  <c r="J35" i="6"/>
  <c r="K35" i="6" s="1"/>
  <c r="H36" i="6"/>
  <c r="J36" i="6"/>
  <c r="K36" i="6"/>
  <c r="H37" i="6"/>
  <c r="J37" i="6"/>
  <c r="K37" i="6" s="1"/>
  <c r="H38" i="6"/>
  <c r="K38" i="6" s="1"/>
  <c r="J38" i="6"/>
  <c r="H39" i="6"/>
  <c r="J39" i="6"/>
  <c r="K39" i="6" s="1"/>
  <c r="H40" i="6"/>
  <c r="J40" i="6"/>
  <c r="K40" i="6"/>
  <c r="H41" i="6"/>
  <c r="J41" i="6"/>
  <c r="K41" i="6" s="1"/>
  <c r="H10" i="1"/>
  <c r="H11" i="1"/>
  <c r="H12" i="1"/>
  <c r="H13" i="1"/>
  <c r="K13" i="1" s="1"/>
  <c r="H14" i="1"/>
  <c r="H15" i="1"/>
  <c r="H16" i="1"/>
  <c r="H17" i="1"/>
  <c r="K17" i="1" s="1"/>
  <c r="H18" i="1"/>
  <c r="H19" i="1"/>
  <c r="H20" i="1"/>
  <c r="H21" i="1"/>
  <c r="K21" i="1" s="1"/>
  <c r="H22" i="1"/>
  <c r="H23" i="1"/>
  <c r="H24" i="1"/>
  <c r="H25" i="1"/>
  <c r="K25" i="1" s="1"/>
  <c r="H26" i="1"/>
  <c r="H27" i="1"/>
  <c r="H28" i="1"/>
  <c r="H29" i="1"/>
  <c r="K29" i="1" s="1"/>
  <c r="H30" i="1"/>
  <c r="H31" i="1"/>
  <c r="H32" i="1"/>
  <c r="H33" i="1"/>
  <c r="K33" i="1" s="1"/>
  <c r="H34" i="1"/>
  <c r="H35" i="1"/>
  <c r="H36" i="1"/>
  <c r="H37" i="1"/>
  <c r="K37" i="1" s="1"/>
  <c r="H38" i="1"/>
  <c r="H39" i="1"/>
  <c r="H40" i="1"/>
  <c r="H41" i="1"/>
  <c r="K41" i="1" s="1"/>
  <c r="H9" i="1"/>
  <c r="K9" i="1" s="1"/>
  <c r="K10" i="1"/>
  <c r="K11" i="1"/>
  <c r="K12" i="1"/>
  <c r="K14" i="1"/>
  <c r="K15" i="1"/>
  <c r="K16" i="1"/>
  <c r="K18" i="1"/>
  <c r="K19" i="1"/>
  <c r="K20" i="1"/>
  <c r="K22" i="1"/>
  <c r="K23" i="1"/>
  <c r="K24" i="1"/>
  <c r="K26" i="1"/>
  <c r="K27" i="1"/>
  <c r="K28" i="1"/>
  <c r="K30" i="1"/>
  <c r="K31" i="1"/>
  <c r="K32" i="1"/>
  <c r="K34" i="1"/>
  <c r="K35" i="1"/>
  <c r="K36" i="1"/>
  <c r="K38" i="1"/>
  <c r="K39" i="1"/>
  <c r="K40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</calcChain>
</file>

<file path=xl/sharedStrings.xml><?xml version="1.0" encoding="utf-8"?>
<sst xmlns="http://schemas.openxmlformats.org/spreadsheetml/2006/main" count="105" uniqueCount="38">
  <si>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</si>
  <si>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</si>
  <si>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</si>
  <si>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</si>
  <si>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</si>
  <si>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</si>
  <si>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</si>
  <si>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</si>
  <si>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</si>
  <si>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</si>
  <si>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Quantity ordered</t>
  </si>
  <si>
    <t>Unit Price</t>
  </si>
  <si>
    <t>Shipping Cost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</si>
  <si>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</si>
  <si>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</si>
  <si>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</si>
  <si>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</si>
  <si>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</si>
  <si>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</si>
  <si>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Employee_Name</t>
  </si>
  <si>
    <t>Department</t>
  </si>
  <si>
    <t>Salary</t>
  </si>
  <si>
    <t>Analytics</t>
  </si>
  <si>
    <t xml:space="preserve"> Vansh</t>
  </si>
  <si>
    <t>Marketing</t>
  </si>
  <si>
    <t xml:space="preserve"> Arohi</t>
  </si>
  <si>
    <t xml:space="preserve"> Shubham</t>
  </si>
  <si>
    <t>Research</t>
  </si>
  <si>
    <t xml:space="preserve"> Sara</t>
  </si>
  <si>
    <t>Operation</t>
  </si>
  <si>
    <t xml:space="preserve"> Mahek</t>
  </si>
  <si>
    <t>Sales</t>
  </si>
  <si>
    <t>Profit %</t>
  </si>
  <si>
    <t>Sales amount (In Million)</t>
  </si>
  <si>
    <t>Profit (In Million)</t>
  </si>
  <si>
    <t>Sales amount (In Millions)</t>
  </si>
  <si>
    <t>Profit  (In Millions)</t>
  </si>
  <si>
    <t>Profit % (In Millions)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</si>
</sst>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3" fontId="0" fillId="0" borderId="0" xfId="0" applyNumberFormat="1"/>
    <xf numFmtId="0" fontId="2" fillId="2" borderId="0" xfId="0" applyFont="1" applyFill="1" applyAlignment="1">
      <alignment horizontal="center"/>
    </xf>
    <xf numFmtId="3" fontId="2" fillId="2" borderId="0" xfId="0" applyNumberFormat="1" applyFont="1" applyFill="1" applyAlignment="1">
      <alignment horizontal="center"/>
    </xf>
    <xf numFmtId="0" fontId="0" fillId="0" borderId="0" xfId="0" applyAlignment="1">
      <alignment wrapText="1"/>
    </xf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24</xdr:row>
          <xdr:rowOff>0</xdr:rowOff>
        </xdr:from>
        <xdr:to>
          <xdr:col>21</xdr:col>
          <xdr:colOff>327660</xdr:colOff>
          <xdr:row>30</xdr:row>
          <xdr:rowOff>129540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opLeftCell="B6" zoomScale="80" workbookViewId="0">
      <selection activeCell="N9" sqref="N9"/>
    </sheetView>
  </sheetViews>
  <sheetFormatPr defaultColWidth="11.33203125" defaultRowHeight="14.4" x14ac:dyDescent="0.3"/>
  <cols>
    <col min="3" max="3" width="15.33203125" customWidth="1"/>
    <col min="4" max="4" width="18.6640625" customWidth="1"/>
    <col min="5" max="5" width="20" customWidth="1"/>
    <col min="6" max="6" width="13" customWidth="1"/>
    <col min="7" max="7" width="17" customWidth="1"/>
    <col min="8" max="8" width="27.6640625" customWidth="1"/>
    <col min="9" max="9" width="27.33203125" customWidth="1"/>
    <col min="10" max="10" width="16" bestFit="1" customWidth="1"/>
    <col min="11" max="11" width="14.44140625" customWidth="1"/>
  </cols>
  <sheetData>
    <row r="2" spans="3:11" x14ac:dyDescent="0.3">
      <c r="C2" s="1" t="s">
        <v>0</v>
      </c>
      <c r="I2" s="1" t="s">
        <v>17</v>
      </c>
    </row>
    <row r="3" spans="3:11" x14ac:dyDescent="0.3">
      <c r="C3" s="1" t="s">
        <v>1</v>
      </c>
    </row>
    <row r="4" spans="3:11" x14ac:dyDescent="0.3">
      <c r="C4" s="1" t="s">
        <v>14</v>
      </c>
    </row>
    <row r="5" spans="3:11" x14ac:dyDescent="0.3">
      <c r="C5" s="1" t="s">
        <v>15</v>
      </c>
    </row>
    <row r="6" spans="3:11" x14ac:dyDescent="0.3">
      <c r="C6" s="1" t="s">
        <v>16</v>
      </c>
    </row>
    <row r="7" spans="3:11" ht="23.4" customHeight="1" x14ac:dyDescent="0.3"/>
    <row r="8" spans="3:11" ht="40.799999999999997" customHeight="1" x14ac:dyDescent="0.3">
      <c r="C8" t="s">
        <v>3</v>
      </c>
      <c r="D8" t="s">
        <v>4</v>
      </c>
      <c r="E8" t="s">
        <v>10</v>
      </c>
      <c r="F8" t="s">
        <v>11</v>
      </c>
      <c r="G8" t="s">
        <v>12</v>
      </c>
      <c r="H8" t="s">
        <v>33</v>
      </c>
      <c r="I8" t="s">
        <v>13</v>
      </c>
      <c r="J8" t="s">
        <v>34</v>
      </c>
      <c r="K8" t="s">
        <v>32</v>
      </c>
    </row>
    <row r="9" spans="3:11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</f>
        <v>11.36</v>
      </c>
      <c r="I9">
        <v>0.54</v>
      </c>
      <c r="J9">
        <f>I9*E9-G9</f>
        <v>1.23</v>
      </c>
      <c r="K9">
        <f>(J9/H9)*100</f>
        <v>10.827464788732396</v>
      </c>
    </row>
    <row r="10" spans="3:11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</f>
        <v>6011.76</v>
      </c>
      <c r="I10">
        <v>0.6</v>
      </c>
      <c r="J10">
        <f t="shared" ref="J10:J41" si="1">I10*E10-G10</f>
        <v>-18.8</v>
      </c>
      <c r="K10">
        <f t="shared" ref="K10:K41" si="2">(J10/H10)*100</f>
        <v>-0.31272040134669382</v>
      </c>
    </row>
    <row r="11" spans="3:11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208.56</v>
      </c>
      <c r="I11">
        <v>0.45</v>
      </c>
      <c r="J11">
        <f t="shared" si="1"/>
        <v>2.6100000000000003</v>
      </c>
      <c r="K11">
        <f t="shared" si="2"/>
        <v>1.251438434982739</v>
      </c>
    </row>
    <row r="12" spans="3:11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1259.04</v>
      </c>
      <c r="I12">
        <v>0.43</v>
      </c>
      <c r="J12">
        <f t="shared" si="1"/>
        <v>-13.11</v>
      </c>
      <c r="K12">
        <f t="shared" si="2"/>
        <v>-1.0412695386961495</v>
      </c>
    </row>
    <row r="13" spans="3:11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22.959999999999997</v>
      </c>
      <c r="I13">
        <v>0.56000000000000005</v>
      </c>
      <c r="J13">
        <f t="shared" si="1"/>
        <v>1.6100000000000003</v>
      </c>
      <c r="K13">
        <f t="shared" si="2"/>
        <v>7.0121951219512217</v>
      </c>
    </row>
    <row r="14" spans="3:11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13.12</v>
      </c>
      <c r="I14">
        <v>0.56000000000000005</v>
      </c>
      <c r="J14">
        <f t="shared" si="1"/>
        <v>-1.96</v>
      </c>
      <c r="K14">
        <f t="shared" si="2"/>
        <v>-14.939024390243901</v>
      </c>
    </row>
    <row r="15" spans="3:11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14.32</v>
      </c>
      <c r="I15">
        <v>0.36</v>
      </c>
      <c r="J15">
        <f t="shared" si="1"/>
        <v>-0.18999999999999995</v>
      </c>
      <c r="K15">
        <f t="shared" si="2"/>
        <v>-1.3268156424581001</v>
      </c>
    </row>
    <row r="16" spans="3:11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30.939999999999998</v>
      </c>
      <c r="I16">
        <v>0.38</v>
      </c>
      <c r="J16">
        <f t="shared" si="1"/>
        <v>-2.33</v>
      </c>
      <c r="K16">
        <f t="shared" si="2"/>
        <v>-7.5307045895281197</v>
      </c>
    </row>
    <row r="17" spans="3:11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359.4</v>
      </c>
      <c r="I17">
        <v>0.4</v>
      </c>
      <c r="J17">
        <f t="shared" si="1"/>
        <v>-2.66</v>
      </c>
      <c r="K17">
        <f t="shared" si="2"/>
        <v>-0.740122426265999</v>
      </c>
    </row>
    <row r="18" spans="3:11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17.88</v>
      </c>
      <c r="I18">
        <v>0.39</v>
      </c>
      <c r="J18">
        <f t="shared" si="1"/>
        <v>0.75999999999999979</v>
      </c>
      <c r="K18">
        <f t="shared" si="2"/>
        <v>4.2505592841163304</v>
      </c>
    </row>
    <row r="19" spans="3:11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1159.8999999999999</v>
      </c>
      <c r="I19">
        <v>0.55000000000000004</v>
      </c>
      <c r="J19">
        <f t="shared" si="1"/>
        <v>3</v>
      </c>
      <c r="K19">
        <f t="shared" si="2"/>
        <v>0.25864298646435041</v>
      </c>
    </row>
    <row r="20" spans="3:11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450.16</v>
      </c>
      <c r="I20">
        <v>0.49</v>
      </c>
      <c r="J20">
        <f t="shared" si="1"/>
        <v>1.4000000000000004</v>
      </c>
      <c r="K20">
        <f t="shared" si="2"/>
        <v>0.31100053314377119</v>
      </c>
    </row>
    <row r="21" spans="3:11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233.82</v>
      </c>
      <c r="I21">
        <v>0.39</v>
      </c>
      <c r="J21">
        <f t="shared" si="1"/>
        <v>-2.419999999999999</v>
      </c>
      <c r="K21">
        <f t="shared" si="2"/>
        <v>-1.0349841758617737</v>
      </c>
    </row>
    <row r="22" spans="3:11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1853.6000000000001</v>
      </c>
      <c r="I22">
        <v>0.49</v>
      </c>
      <c r="J22">
        <f t="shared" si="1"/>
        <v>27.369999999999997</v>
      </c>
      <c r="K22">
        <f t="shared" si="2"/>
        <v>1.476586102719033</v>
      </c>
    </row>
    <row r="23" spans="3:11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290</v>
      </c>
      <c r="I23">
        <v>0.37</v>
      </c>
      <c r="J23">
        <f t="shared" si="1"/>
        <v>18.07</v>
      </c>
      <c r="K23">
        <f t="shared" si="2"/>
        <v>6.2310344827586208</v>
      </c>
    </row>
    <row r="24" spans="3:11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922.29</v>
      </c>
      <c r="I24">
        <v>0.39</v>
      </c>
      <c r="J24">
        <f t="shared" si="1"/>
        <v>18.25</v>
      </c>
      <c r="K24">
        <f t="shared" si="2"/>
        <v>1.9787702349586358</v>
      </c>
    </row>
    <row r="25" spans="3:11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55.48</v>
      </c>
      <c r="I25">
        <v>0.37</v>
      </c>
      <c r="J25">
        <f t="shared" si="1"/>
        <v>-13.930000000000001</v>
      </c>
      <c r="K25">
        <f t="shared" si="2"/>
        <v>-25.108147080028843</v>
      </c>
    </row>
    <row r="26" spans="3:11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1.68</v>
      </c>
      <c r="I26">
        <v>0.59</v>
      </c>
      <c r="J26">
        <f t="shared" si="1"/>
        <v>-0.98000000000000009</v>
      </c>
      <c r="K26">
        <f t="shared" si="2"/>
        <v>-58.333333333333336</v>
      </c>
    </row>
    <row r="27" spans="3:11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49.679999999999993</v>
      </c>
      <c r="I27">
        <v>0.49</v>
      </c>
      <c r="J27">
        <f t="shared" si="1"/>
        <v>-0.71999999999999975</v>
      </c>
      <c r="K27">
        <f t="shared" si="2"/>
        <v>-1.4492753623188404</v>
      </c>
    </row>
    <row r="28" spans="3:11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454.87</v>
      </c>
      <c r="I28">
        <v>0.59</v>
      </c>
      <c r="J28">
        <f t="shared" si="1"/>
        <v>-6.0000000000000497E-2</v>
      </c>
      <c r="K28">
        <f t="shared" si="2"/>
        <v>-1.3190581924506012E-2</v>
      </c>
    </row>
    <row r="29" spans="3:11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35.96</v>
      </c>
      <c r="I29">
        <v>0.4</v>
      </c>
      <c r="J29">
        <f t="shared" si="1"/>
        <v>-7.71</v>
      </c>
      <c r="K29">
        <f t="shared" si="2"/>
        <v>-21.440489432703004</v>
      </c>
    </row>
    <row r="30" spans="3:11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1007.92</v>
      </c>
      <c r="I30">
        <v>0.59</v>
      </c>
      <c r="J30">
        <f t="shared" si="1"/>
        <v>-2.9700000000000006</v>
      </c>
      <c r="K30">
        <f t="shared" si="2"/>
        <v>-0.29466624335264713</v>
      </c>
    </row>
    <row r="31" spans="3:11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4531.7800000000007</v>
      </c>
      <c r="I31">
        <v>0.56000000000000005</v>
      </c>
      <c r="J31">
        <f t="shared" si="1"/>
        <v>3.33</v>
      </c>
      <c r="K31">
        <f t="shared" si="2"/>
        <v>7.348106042217406E-2</v>
      </c>
    </row>
    <row r="32" spans="3:11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55.120000000000005</v>
      </c>
      <c r="I32">
        <v>0.35</v>
      </c>
      <c r="J32">
        <f t="shared" si="1"/>
        <v>-0.86000000000000032</v>
      </c>
      <c r="K32">
        <f t="shared" si="2"/>
        <v>-1.5602322206095796</v>
      </c>
    </row>
    <row r="33" spans="3:11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52.92</v>
      </c>
      <c r="I33">
        <v>0.57999999999999996</v>
      </c>
      <c r="J33">
        <f t="shared" si="1"/>
        <v>9.74</v>
      </c>
      <c r="K33">
        <f t="shared" si="2"/>
        <v>18.405139833711264</v>
      </c>
    </row>
    <row r="34" spans="3:11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599.93999999999994</v>
      </c>
      <c r="I34">
        <v>0.52</v>
      </c>
      <c r="J34">
        <f t="shared" si="1"/>
        <v>-16.869999999999997</v>
      </c>
      <c r="K34">
        <f t="shared" si="2"/>
        <v>-2.8119478614528117</v>
      </c>
    </row>
    <row r="35" spans="3:11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695.93999999999994</v>
      </c>
      <c r="I35">
        <v>0.56999999999999995</v>
      </c>
      <c r="J35">
        <f t="shared" si="1"/>
        <v>0.91999999999999993</v>
      </c>
      <c r="K35">
        <f t="shared" si="2"/>
        <v>0.13219530419289022</v>
      </c>
    </row>
    <row r="36" spans="3:11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3502.14</v>
      </c>
      <c r="I36">
        <v>0.56999999999999995</v>
      </c>
      <c r="J36">
        <f t="shared" si="1"/>
        <v>-8.16</v>
      </c>
      <c r="K36">
        <f t="shared" si="2"/>
        <v>-0.23300039404478404</v>
      </c>
    </row>
    <row r="37" spans="3:11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2991.83</v>
      </c>
      <c r="I37">
        <v>0.36</v>
      </c>
      <c r="J37">
        <f t="shared" si="1"/>
        <v>0.33000000000000007</v>
      </c>
      <c r="K37">
        <f t="shared" si="2"/>
        <v>1.1030038471437218E-2</v>
      </c>
    </row>
    <row r="38" spans="3:11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3101.2</v>
      </c>
      <c r="I38">
        <v>0.38</v>
      </c>
      <c r="J38">
        <f t="shared" si="1"/>
        <v>6.1099999999999994</v>
      </c>
      <c r="K38">
        <f t="shared" si="2"/>
        <v>0.19702050819037789</v>
      </c>
    </row>
    <row r="39" spans="3:11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101.66000000000001</v>
      </c>
      <c r="I39">
        <v>0.56000000000000005</v>
      </c>
      <c r="J39">
        <f t="shared" si="1"/>
        <v>8.8200000000000021</v>
      </c>
      <c r="K39">
        <f t="shared" si="2"/>
        <v>8.6759787527050971</v>
      </c>
    </row>
    <row r="40" spans="3:11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87.42</v>
      </c>
      <c r="I40">
        <v>0.36</v>
      </c>
      <c r="J40">
        <f t="shared" si="1"/>
        <v>-4.07</v>
      </c>
      <c r="K40">
        <f t="shared" si="2"/>
        <v>-4.6556851978952185</v>
      </c>
    </row>
    <row r="41" spans="3:11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62.73</v>
      </c>
      <c r="I41">
        <v>0.38</v>
      </c>
      <c r="J41">
        <f t="shared" si="1"/>
        <v>1.5999999999999996</v>
      </c>
      <c r="K41">
        <f t="shared" si="2"/>
        <v>2.5506137414315315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2D4ED-A6EB-4572-85DF-1C0772C44997}">
  <sheetPr codeName="Sheet3"/>
  <dimension ref="C1:L41"/>
  <sheetViews>
    <sheetView tabSelected="1" topLeftCell="A5" zoomScale="68" workbookViewId="0">
      <selection activeCell="R16" sqref="R16"/>
    </sheetView>
  </sheetViews>
  <sheetFormatPr defaultRowHeight="14.4" x14ac:dyDescent="0.3"/>
  <cols>
    <col min="4" max="4" width="18.6640625" customWidth="1"/>
    <col min="5" max="5" width="20" customWidth="1"/>
    <col min="6" max="6" width="13" customWidth="1"/>
    <col min="7" max="7" width="17" customWidth="1"/>
    <col min="8" max="8" width="27.6640625" customWidth="1"/>
    <col min="9" max="9" width="27.33203125" customWidth="1"/>
    <col min="10" max="10" width="12.109375" customWidth="1"/>
    <col min="11" max="11" width="14.44140625" style="6" customWidth="1"/>
  </cols>
  <sheetData>
    <row r="1" spans="3:12" x14ac:dyDescent="0.3">
      <c r="K1"/>
    </row>
    <row r="2" spans="3:12" x14ac:dyDescent="0.3">
      <c r="K2"/>
    </row>
    <row r="3" spans="3:12" x14ac:dyDescent="0.3">
      <c r="K3"/>
    </row>
    <row r="4" spans="3:12" x14ac:dyDescent="0.3">
      <c r="K4"/>
    </row>
    <row r="5" spans="3:12" x14ac:dyDescent="0.3">
      <c r="K5"/>
    </row>
    <row r="6" spans="3:12" x14ac:dyDescent="0.3">
      <c r="K6"/>
    </row>
    <row r="7" spans="3:12" ht="27" customHeight="1" x14ac:dyDescent="0.3">
      <c r="K7"/>
    </row>
    <row r="8" spans="3:12" ht="40.799999999999997" customHeight="1" x14ac:dyDescent="0.3">
      <c r="C8" t="s">
        <v>3</v>
      </c>
      <c r="D8" t="s">
        <v>4</v>
      </c>
      <c r="E8" t="s">
        <v>10</v>
      </c>
      <c r="F8" t="s">
        <v>11</v>
      </c>
      <c r="G8" t="s">
        <v>12</v>
      </c>
      <c r="H8" t="s">
        <v>35</v>
      </c>
      <c r="I8" t="s">
        <v>13</v>
      </c>
      <c r="J8" t="s">
        <v>36</v>
      </c>
      <c r="K8" t="s">
        <v>37</v>
      </c>
      <c r="L8" s="5"/>
    </row>
    <row r="9" spans="3:12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  <c r="K9">
        <f>(J9/H9)*100</f>
        <v>10.008136696501222</v>
      </c>
    </row>
    <row r="10" spans="3:12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  <c r="K10">
        <f t="shared" ref="K10:K41" si="2">(J10/H10)*100</f>
        <v>-0.31137375450498195</v>
      </c>
    </row>
    <row r="11" spans="3:12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>
        <f t="shared" si="2"/>
        <v>1.2091730368311329</v>
      </c>
    </row>
    <row r="12" spans="3:12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>
        <f t="shared" si="2"/>
        <v>-1.0249955044056824</v>
      </c>
    </row>
    <row r="13" spans="3:12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>
        <f t="shared" si="2"/>
        <v>6.3711911357340734</v>
      </c>
    </row>
    <row r="14" spans="3:12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>
        <f t="shared" si="2"/>
        <v>-11.316397228637413</v>
      </c>
    </row>
    <row r="15" spans="3:12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>
        <f t="shared" si="2"/>
        <v>-1.1912225705329151</v>
      </c>
    </row>
    <row r="16" spans="3:12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>
        <f t="shared" si="2"/>
        <v>-6.4848316170331195</v>
      </c>
    </row>
    <row r="17" spans="3:11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>
        <f t="shared" si="2"/>
        <v>-0.72665683221329835</v>
      </c>
    </row>
    <row r="18" spans="3:11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>
        <f t="shared" si="2"/>
        <v>3.9054470709146956</v>
      </c>
    </row>
    <row r="19" spans="3:11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>
        <f t="shared" si="2"/>
        <v>0.25808671713695808</v>
      </c>
    </row>
    <row r="20" spans="3:11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>
        <f t="shared" si="2"/>
        <v>0.30628541425102285</v>
      </c>
    </row>
    <row r="21" spans="3:11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>
        <f t="shared" si="2"/>
        <v>-0.99482035681986314</v>
      </c>
    </row>
    <row r="22" spans="3:11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>
        <f t="shared" si="2"/>
        <v>1.4710861958689188</v>
      </c>
    </row>
    <row r="23" spans="3:11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>
        <f t="shared" si="2"/>
        <v>6.1590374586727563</v>
      </c>
    </row>
    <row r="24" spans="3:11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>
        <f t="shared" si="2"/>
        <v>1.9587219473452611</v>
      </c>
    </row>
    <row r="25" spans="3:11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>
        <f t="shared" si="2"/>
        <v>-19.962740040126111</v>
      </c>
    </row>
    <row r="26" spans="3:11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>
        <f t="shared" si="2"/>
        <v>-30.15384615384616</v>
      </c>
    </row>
    <row r="27" spans="3:11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>
        <f t="shared" si="2"/>
        <v>-1.2793176972281446</v>
      </c>
    </row>
    <row r="28" spans="3:11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>
        <f t="shared" si="2"/>
        <v>-1.2970168612192065E-2</v>
      </c>
    </row>
    <row r="29" spans="3:11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>
        <f t="shared" si="2"/>
        <v>-17.337530919721161</v>
      </c>
    </row>
    <row r="30" spans="3:11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>
        <f t="shared" si="2"/>
        <v>-0.29243508827207298</v>
      </c>
    </row>
    <row r="31" spans="3:11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>
        <f t="shared" si="2"/>
        <v>7.3335579648385621E-2</v>
      </c>
    </row>
    <row r="32" spans="3:11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>
        <f t="shared" si="2"/>
        <v>-1.4207830827688754</v>
      </c>
    </row>
    <row r="33" spans="3:11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>
        <f t="shared" si="2"/>
        <v>18.164863856769863</v>
      </c>
    </row>
    <row r="34" spans="3:11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>
        <f t="shared" si="2"/>
        <v>-2.7212749826593323</v>
      </c>
    </row>
    <row r="35" spans="3:11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>
        <f t="shared" si="2"/>
        <v>0.13172212358971422</v>
      </c>
    </row>
    <row r="36" spans="3:11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>
        <f t="shared" si="2"/>
        <v>-0.23242102384878963</v>
      </c>
    </row>
    <row r="37" spans="3:11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>
        <f t="shared" si="2"/>
        <v>1.1008733595318957E-2</v>
      </c>
    </row>
    <row r="38" spans="3:11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>
        <f t="shared" si="2"/>
        <v>0.19692589333771662</v>
      </c>
    </row>
    <row r="39" spans="3:11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>
        <f t="shared" si="2"/>
        <v>8.6166471277842902</v>
      </c>
    </row>
    <row r="40" spans="3:11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>
        <f t="shared" si="2"/>
        <v>-4.3966727881603118</v>
      </c>
    </row>
    <row r="41" spans="3:11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>
        <f t="shared" si="2"/>
        <v>2.3672140849238046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Macro_1">
                <anchor moveWithCells="1" sizeWithCells="1">
                  <from>
                    <xdr:col>15</xdr:col>
                    <xdr:colOff>289560</xdr:colOff>
                    <xdr:row>24</xdr:row>
                    <xdr:rowOff>0</xdr:rowOff>
                  </from>
                  <to>
                    <xdr:col>21</xdr:col>
                    <xdr:colOff>327660</xdr:colOff>
                    <xdr:row>30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B3:H12"/>
  <sheetViews>
    <sheetView workbookViewId="0">
      <selection activeCell="I12" sqref="I12"/>
    </sheetView>
  </sheetViews>
  <sheetFormatPr defaultRowHeight="14.4" x14ac:dyDescent="0.3"/>
  <cols>
    <col min="2" max="2" width="22.88671875" bestFit="1" customWidth="1"/>
    <col min="3" max="3" width="22.21875" customWidth="1"/>
    <col min="4" max="4" width="14.44140625" customWidth="1"/>
  </cols>
  <sheetData>
    <row r="3" spans="2:8" x14ac:dyDescent="0.3">
      <c r="C3" s="1" t="s">
        <v>2</v>
      </c>
    </row>
    <row r="4" spans="2:8" x14ac:dyDescent="0.3">
      <c r="C4" s="1" t="s">
        <v>18</v>
      </c>
    </row>
    <row r="7" spans="2:8" ht="21" x14ac:dyDescent="0.4">
      <c r="B7" s="3" t="s">
        <v>19</v>
      </c>
      <c r="C7" s="3" t="s">
        <v>20</v>
      </c>
      <c r="D7" s="4" t="s">
        <v>21</v>
      </c>
    </row>
    <row r="8" spans="2:8" x14ac:dyDescent="0.3">
      <c r="B8" t="s">
        <v>23</v>
      </c>
      <c r="C8" t="s">
        <v>24</v>
      </c>
      <c r="D8" s="2">
        <v>1200000</v>
      </c>
      <c r="H8" s="2"/>
    </row>
    <row r="9" spans="2:8" x14ac:dyDescent="0.3">
      <c r="B9" t="s">
        <v>25</v>
      </c>
      <c r="C9" t="s">
        <v>22</v>
      </c>
      <c r="D9" s="2">
        <v>700000</v>
      </c>
      <c r="H9" s="2"/>
    </row>
    <row r="10" spans="2:8" x14ac:dyDescent="0.3">
      <c r="B10" t="s">
        <v>26</v>
      </c>
      <c r="C10" t="s">
        <v>27</v>
      </c>
      <c r="D10" s="2">
        <v>1000000</v>
      </c>
    </row>
    <row r="11" spans="2:8" x14ac:dyDescent="0.3">
      <c r="B11" t="s">
        <v>28</v>
      </c>
      <c r="C11" t="s">
        <v>29</v>
      </c>
      <c r="D11" s="2">
        <v>850000</v>
      </c>
    </row>
    <row r="12" spans="2:8" x14ac:dyDescent="0.3">
      <c r="B12" t="s">
        <v>30</v>
      </c>
      <c r="C12" t="s">
        <v>31</v>
      </c>
      <c r="D12" s="2">
        <v>600000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Macro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58-Anjali kundar</cp:lastModifiedBy>
  <dcterms:created xsi:type="dcterms:W3CDTF">2015-06-05T18:17:20Z</dcterms:created>
  <dcterms:modified xsi:type="dcterms:W3CDTF">2023-12-06T17:58:59Z</dcterms:modified>
</cp:coreProperties>
</file>